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tai\Documents\MATLAB\AMIGO2_R2019b\Inputs\Wine_Hybrids_FINAL_AROMAS\Results\results_compute\"/>
    </mc:Choice>
  </mc:AlternateContent>
  <bookViews>
    <workbookView xWindow="0" yWindow="0" windowWidth="19200" windowHeight="11775"/>
  </bookViews>
  <sheets>
    <sheet name="Model R2 valu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" i="2" l="1"/>
  <c r="C42" i="2"/>
  <c r="B42" i="2"/>
  <c r="D41" i="2"/>
  <c r="C41" i="2"/>
  <c r="B41" i="2"/>
</calcChain>
</file>

<file path=xl/sharedStrings.xml><?xml version="1.0" encoding="utf-8"?>
<sst xmlns="http://schemas.openxmlformats.org/spreadsheetml/2006/main" count="48" uniqueCount="46">
  <si>
    <t>SuBMV58</t>
  </si>
  <si>
    <t>ScEC1118</t>
  </si>
  <si>
    <t>SkCR85</t>
  </si>
  <si>
    <t>Compound</t>
  </si>
  <si>
    <t>CFU</t>
  </si>
  <si>
    <t>DW</t>
  </si>
  <si>
    <t>Glucose</t>
  </si>
  <si>
    <t>Fructose</t>
  </si>
  <si>
    <t>Glycerol</t>
  </si>
  <si>
    <t>Ethanol</t>
  </si>
  <si>
    <t>Succinate</t>
  </si>
  <si>
    <t>Lactate</t>
  </si>
  <si>
    <t>Acetate</t>
  </si>
  <si>
    <t>Ethyl acetate</t>
  </si>
  <si>
    <t>Isobutyl acetate</t>
  </si>
  <si>
    <t>Isobutanol</t>
  </si>
  <si>
    <t>Isoamyl acetate</t>
  </si>
  <si>
    <t xml:space="preserve">Isoamyl alcohol </t>
  </si>
  <si>
    <t>2-Phenylethyl ac.</t>
  </si>
  <si>
    <t>2-Phenyl-Ethanol</t>
  </si>
  <si>
    <t>L-Histidine</t>
  </si>
  <si>
    <t>L-Glycine</t>
  </si>
  <si>
    <t>L-Alanine</t>
  </si>
  <si>
    <t>L-Glutamate</t>
  </si>
  <si>
    <t>L-Glutamine</t>
  </si>
  <si>
    <t>L-Isoleucine</t>
  </si>
  <si>
    <t>L-Aspartate</t>
  </si>
  <si>
    <t>L-Arginine</t>
  </si>
  <si>
    <t>L-Serine</t>
  </si>
  <si>
    <t>L-Tyrosine</t>
  </si>
  <si>
    <t>L-Tryptophan</t>
  </si>
  <si>
    <t>L-Threonine</t>
  </si>
  <si>
    <t>L-Leucine</t>
  </si>
  <si>
    <t>L-Cysteine</t>
  </si>
  <si>
    <t>L-Valine</t>
  </si>
  <si>
    <t>L-Phenylalanine</t>
  </si>
  <si>
    <t>L-Lysine</t>
  </si>
  <si>
    <t>L-Methionine</t>
  </si>
  <si>
    <t>NH4Cl</t>
  </si>
  <si>
    <t>Malate</t>
  </si>
  <si>
    <t>2,3 Butanediol</t>
  </si>
  <si>
    <t>Benzyl alcohol</t>
  </si>
  <si>
    <t xml:space="preserve">    Mean+</t>
  </si>
  <si>
    <t xml:space="preserve">    Median</t>
  </si>
  <si>
    <t>YAN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</si>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</sst>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0" fillId="0" borderId="0" xfId="0" applyFill="1"/>
    <xf numFmtId="0" fontId="1" fillId="0" borderId="0" xfId="0" applyFont="1" applyFill="1" applyAlignment="1">
      <alignment horizontal="left"/>
    </xf>
    <xf numFmtId="0" fontId="3" fillId="0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F34" sqref="F34"/>
    </sheetView>
  </sheetViews>
  <sheetFormatPr defaultRowHeight="14.75" x14ac:dyDescent="0.75"/>
  <cols>
    <col min="1" max="1" width="37" customWidth="1"/>
    <col min="2" max="2" width="12.7265625" customWidth="1"/>
    <col min="3" max="3" width="12.40625" customWidth="1"/>
    <col min="4" max="4" width="11.86328125" customWidth="1"/>
    <col min="6" max="6" width="70.1328125" style="4" customWidth="1"/>
  </cols>
  <sheetData>
    <row r="1" spans="1:4" ht="16" x14ac:dyDescent="0.75">
      <c r="A1" s="1" t="s">
        <v>3</v>
      </c>
      <c r="B1" s="1" t="s">
        <v>1</v>
      </c>
      <c r="C1" s="1" t="s">
        <v>0</v>
      </c>
      <c r="D1" s="1" t="s">
        <v>2</v>
      </c>
    </row>
    <row r="2" spans="1:4" s="4" customFormat="1" x14ac:dyDescent="0.75">
      <c r="A2" s="5" t="s">
        <v>4</v>
      </c>
      <c r="B2" s="4">
        <v>0.99839999999999995</v>
      </c>
      <c r="C2" s="4">
        <v>0.98939999999999995</v>
      </c>
      <c r="D2" s="4">
        <v>0.99119999999999997</v>
      </c>
    </row>
    <row r="3" spans="1:4" s="4" customFormat="1" x14ac:dyDescent="0.75">
      <c r="A3" s="5" t="s">
        <v>5</v>
      </c>
      <c r="B3" s="4">
        <v>0.87050000000000005</v>
      </c>
      <c r="C3" s="4">
        <v>0.80269999999999997</v>
      </c>
      <c r="D3" s="6">
        <v>0.66969999999999996</v>
      </c>
    </row>
    <row r="4" spans="1:4" s="4" customFormat="1" x14ac:dyDescent="0.75">
      <c r="A4" s="5" t="s">
        <v>44</v>
      </c>
      <c r="B4" s="4">
        <v>0.98919999999999997</v>
      </c>
      <c r="C4" s="4">
        <v>0.99660000000000004</v>
      </c>
      <c r="D4" s="4">
        <v>0.97550000000000003</v>
      </c>
    </row>
    <row r="5" spans="1:4" s="4" customFormat="1" x14ac:dyDescent="0.75">
      <c r="A5" s="5" t="s">
        <v>6</v>
      </c>
      <c r="B5" s="4">
        <v>0.9929</v>
      </c>
      <c r="C5" s="4">
        <v>0.99660000000000004</v>
      </c>
      <c r="D5" s="4">
        <v>0.98409999999999997</v>
      </c>
    </row>
    <row r="6" spans="1:4" s="4" customFormat="1" x14ac:dyDescent="0.75">
      <c r="A6" s="5" t="s">
        <v>7</v>
      </c>
      <c r="B6" s="4">
        <v>0.97870000000000001</v>
      </c>
      <c r="C6" s="4">
        <v>0.97470000000000001</v>
      </c>
      <c r="D6" s="4">
        <v>0.97929999999999995</v>
      </c>
    </row>
    <row r="7" spans="1:4" s="4" customFormat="1" x14ac:dyDescent="0.75">
      <c r="A7" s="5" t="s">
        <v>8</v>
      </c>
      <c r="B7" s="4">
        <v>0.97870000000000001</v>
      </c>
      <c r="C7" s="4">
        <v>0.99419999999999997</v>
      </c>
      <c r="D7" s="4">
        <v>0.99170000000000003</v>
      </c>
    </row>
    <row r="8" spans="1:4" s="4" customFormat="1" x14ac:dyDescent="0.75">
      <c r="A8" s="5" t="s">
        <v>9</v>
      </c>
      <c r="B8" s="4">
        <v>0.99660000000000004</v>
      </c>
      <c r="C8" s="4">
        <v>0.99550000000000005</v>
      </c>
      <c r="D8" s="4">
        <v>0.99570000000000003</v>
      </c>
    </row>
    <row r="9" spans="1:4" s="4" customFormat="1" x14ac:dyDescent="0.75">
      <c r="A9" s="5" t="s">
        <v>10</v>
      </c>
      <c r="B9" s="4">
        <v>0.95</v>
      </c>
      <c r="C9" s="4">
        <v>0.99119999999999997</v>
      </c>
      <c r="D9" s="4">
        <v>0.92959999999999998</v>
      </c>
    </row>
    <row r="10" spans="1:4" s="4" customFormat="1" x14ac:dyDescent="0.75">
      <c r="A10" s="5" t="s">
        <v>11</v>
      </c>
      <c r="B10" s="4">
        <v>0.98529999999999995</v>
      </c>
      <c r="C10" s="4">
        <v>0.88990000000000002</v>
      </c>
      <c r="D10" s="4">
        <v>0.95709999999999995</v>
      </c>
    </row>
    <row r="11" spans="1:4" s="4" customFormat="1" x14ac:dyDescent="0.75">
      <c r="A11" s="5" t="s">
        <v>12</v>
      </c>
      <c r="B11" s="4">
        <v>0.96730000000000005</v>
      </c>
      <c r="C11" s="4">
        <v>0.74660000000000004</v>
      </c>
      <c r="D11" s="4">
        <v>0.91090000000000004</v>
      </c>
    </row>
    <row r="12" spans="1:4" s="4" customFormat="1" x14ac:dyDescent="0.75">
      <c r="A12" s="5" t="s">
        <v>13</v>
      </c>
      <c r="B12" s="4">
        <v>0.98570000000000002</v>
      </c>
      <c r="C12" s="4">
        <v>0.98229999999999995</v>
      </c>
      <c r="D12" s="4">
        <v>0.99880000000000002</v>
      </c>
    </row>
    <row r="13" spans="1:4" s="4" customFormat="1" x14ac:dyDescent="0.75">
      <c r="A13" s="5" t="s">
        <v>14</v>
      </c>
      <c r="B13" s="7" t="s">
        <v>45</v>
      </c>
      <c r="C13" s="7">
        <v>-0.33329999999999999</v>
      </c>
      <c r="D13" s="7" t="s">
        <v>45</v>
      </c>
    </row>
    <row r="14" spans="1:4" s="4" customFormat="1" x14ac:dyDescent="0.75">
      <c r="A14" s="5" t="s">
        <v>15</v>
      </c>
      <c r="B14" s="4">
        <v>0.99719999999999998</v>
      </c>
      <c r="C14" s="4">
        <v>0.96730000000000005</v>
      </c>
      <c r="D14" s="7">
        <v>-0.21</v>
      </c>
    </row>
    <row r="15" spans="1:4" s="4" customFormat="1" x14ac:dyDescent="0.75">
      <c r="A15" s="5" t="s">
        <v>16</v>
      </c>
      <c r="B15" s="4">
        <v>0.99960000000000004</v>
      </c>
      <c r="C15" s="4">
        <v>0.71360000000000001</v>
      </c>
      <c r="D15" s="7">
        <v>-0.56100000000000005</v>
      </c>
    </row>
    <row r="16" spans="1:4" s="4" customFormat="1" x14ac:dyDescent="0.75">
      <c r="A16" s="5" t="s">
        <v>17</v>
      </c>
      <c r="B16" s="4">
        <v>0.97809999999999997</v>
      </c>
      <c r="C16" s="4">
        <v>0.95830000000000004</v>
      </c>
      <c r="D16" s="4">
        <v>0.68310000000000004</v>
      </c>
    </row>
    <row r="17" spans="1:4" s="4" customFormat="1" x14ac:dyDescent="0.75">
      <c r="A17" s="5" t="s">
        <v>18</v>
      </c>
      <c r="B17" s="4">
        <v>0.89590000000000003</v>
      </c>
      <c r="C17" s="4">
        <v>0.96489999999999998</v>
      </c>
      <c r="D17" s="4">
        <v>0.87549999999999994</v>
      </c>
    </row>
    <row r="18" spans="1:4" s="4" customFormat="1" x14ac:dyDescent="0.75">
      <c r="A18" s="5" t="s">
        <v>19</v>
      </c>
      <c r="B18" s="4">
        <v>0.96909999999999996</v>
      </c>
      <c r="C18" s="4">
        <v>0.95489999999999997</v>
      </c>
      <c r="D18" s="4">
        <v>0.82930000000000004</v>
      </c>
    </row>
    <row r="19" spans="1:4" s="4" customFormat="1" x14ac:dyDescent="0.75">
      <c r="A19" s="5" t="s">
        <v>22</v>
      </c>
      <c r="B19" s="4">
        <v>0.89549999999999996</v>
      </c>
      <c r="C19" s="4">
        <v>0.91830000000000001</v>
      </c>
      <c r="D19" s="4">
        <v>0.9415</v>
      </c>
    </row>
    <row r="20" spans="1:4" s="4" customFormat="1" x14ac:dyDescent="0.75">
      <c r="A20" s="5" t="s">
        <v>27</v>
      </c>
      <c r="B20" s="4">
        <v>0.9446</v>
      </c>
      <c r="C20" s="4">
        <v>0.99470000000000003</v>
      </c>
      <c r="D20" s="4">
        <v>0.77200000000000002</v>
      </c>
    </row>
    <row r="21" spans="1:4" s="4" customFormat="1" x14ac:dyDescent="0.75">
      <c r="A21" s="5" t="s">
        <v>26</v>
      </c>
      <c r="B21" s="4">
        <v>1</v>
      </c>
      <c r="C21" s="4">
        <v>0.99780000000000002</v>
      </c>
      <c r="D21" s="4">
        <v>0.99970000000000003</v>
      </c>
    </row>
    <row r="22" spans="1:4" s="4" customFormat="1" x14ac:dyDescent="0.75">
      <c r="A22" s="5" t="s">
        <v>33</v>
      </c>
      <c r="B22" s="4">
        <v>0.98760000000000003</v>
      </c>
      <c r="C22" s="4">
        <v>0.73709999999999998</v>
      </c>
      <c r="D22" s="4">
        <v>0.99980000000000002</v>
      </c>
    </row>
    <row r="23" spans="1:4" s="4" customFormat="1" x14ac:dyDescent="0.75">
      <c r="A23" s="5" t="s">
        <v>23</v>
      </c>
      <c r="B23" s="4">
        <v>0.97750000000000004</v>
      </c>
      <c r="C23" s="4">
        <v>0.97750000000000004</v>
      </c>
      <c r="D23" s="4">
        <v>0.9556</v>
      </c>
    </row>
    <row r="24" spans="1:4" s="4" customFormat="1" x14ac:dyDescent="0.75">
      <c r="A24" s="5" t="s">
        <v>24</v>
      </c>
      <c r="B24" s="4">
        <v>0.98550000000000004</v>
      </c>
      <c r="C24" s="4">
        <v>0.97219999999999995</v>
      </c>
      <c r="D24" s="4">
        <v>0.98240000000000005</v>
      </c>
    </row>
    <row r="25" spans="1:4" s="4" customFormat="1" x14ac:dyDescent="0.75">
      <c r="A25" s="5" t="s">
        <v>21</v>
      </c>
      <c r="B25" s="4">
        <v>0.99219999999999997</v>
      </c>
      <c r="C25" s="4">
        <v>0.88300000000000001</v>
      </c>
      <c r="D25" s="4">
        <v>0.97889999999999999</v>
      </c>
    </row>
    <row r="26" spans="1:4" s="4" customFormat="1" x14ac:dyDescent="0.75">
      <c r="A26" s="5" t="s">
        <v>20</v>
      </c>
      <c r="B26" s="4">
        <v>0.99909999999999999</v>
      </c>
      <c r="C26" s="4">
        <v>0.99409999999999998</v>
      </c>
      <c r="D26" s="4">
        <v>0.98729999999999996</v>
      </c>
    </row>
    <row r="27" spans="1:4" s="4" customFormat="1" x14ac:dyDescent="0.75">
      <c r="A27" s="5" t="s">
        <v>25</v>
      </c>
      <c r="B27" s="4">
        <v>0.99909999999999999</v>
      </c>
      <c r="C27" s="4">
        <v>0.99409999999999998</v>
      </c>
      <c r="D27" s="4">
        <v>0.98729999999999996</v>
      </c>
    </row>
    <row r="28" spans="1:4" s="4" customFormat="1" x14ac:dyDescent="0.75">
      <c r="A28" s="5" t="s">
        <v>32</v>
      </c>
      <c r="B28" s="4">
        <v>0.99909999999999999</v>
      </c>
      <c r="C28" s="4">
        <v>0.99409999999999998</v>
      </c>
      <c r="D28" s="4">
        <v>0.98729999999999996</v>
      </c>
    </row>
    <row r="29" spans="1:4" s="4" customFormat="1" x14ac:dyDescent="0.75">
      <c r="A29" s="5" t="s">
        <v>36</v>
      </c>
      <c r="B29" s="4">
        <v>0.99909999999999999</v>
      </c>
      <c r="C29" s="4">
        <v>0.99409999999999998</v>
      </c>
      <c r="D29" s="4">
        <v>0.98729999999999996</v>
      </c>
    </row>
    <row r="30" spans="1:4" s="4" customFormat="1" x14ac:dyDescent="0.75">
      <c r="A30" s="5" t="s">
        <v>37</v>
      </c>
      <c r="B30" s="4">
        <v>0.99909999999999999</v>
      </c>
      <c r="C30" s="4">
        <v>0.99409999999999998</v>
      </c>
      <c r="D30" s="4">
        <v>0.98729999999999996</v>
      </c>
    </row>
    <row r="31" spans="1:4" s="4" customFormat="1" x14ac:dyDescent="0.75">
      <c r="A31" s="5" t="s">
        <v>38</v>
      </c>
      <c r="B31" s="4">
        <v>0.98399999999999999</v>
      </c>
      <c r="C31" s="4">
        <v>0.99750000000000005</v>
      </c>
      <c r="D31" s="4">
        <v>0.99729999999999996</v>
      </c>
    </row>
    <row r="32" spans="1:4" s="4" customFormat="1" x14ac:dyDescent="0.75">
      <c r="A32" s="5" t="s">
        <v>35</v>
      </c>
      <c r="B32" s="4">
        <v>1</v>
      </c>
      <c r="C32" s="4">
        <v>0.99760000000000004</v>
      </c>
      <c r="D32" s="4">
        <v>0.99960000000000004</v>
      </c>
    </row>
    <row r="33" spans="1:4" s="4" customFormat="1" x14ac:dyDescent="0.75">
      <c r="A33" s="5" t="s">
        <v>28</v>
      </c>
      <c r="B33" s="4">
        <v>0.99850000000000005</v>
      </c>
      <c r="C33" s="4">
        <v>0.9899</v>
      </c>
      <c r="D33" s="4">
        <v>0.99990000000000001</v>
      </c>
    </row>
    <row r="34" spans="1:4" s="4" customFormat="1" x14ac:dyDescent="0.75">
      <c r="A34" s="5" t="s">
        <v>31</v>
      </c>
      <c r="B34" s="4">
        <v>0.99990000000000001</v>
      </c>
      <c r="C34" s="4">
        <v>0.96750000000000003</v>
      </c>
      <c r="D34" s="4">
        <v>0.98029999999999995</v>
      </c>
    </row>
    <row r="35" spans="1:4" s="4" customFormat="1" x14ac:dyDescent="0.75">
      <c r="A35" s="5" t="s">
        <v>30</v>
      </c>
      <c r="B35" s="4">
        <v>0.93479999999999996</v>
      </c>
      <c r="C35" s="4">
        <v>0.98550000000000004</v>
      </c>
      <c r="D35" s="4">
        <v>0.99219999999999997</v>
      </c>
    </row>
    <row r="36" spans="1:4" s="4" customFormat="1" x14ac:dyDescent="0.75">
      <c r="A36" s="5" t="s">
        <v>29</v>
      </c>
      <c r="B36" s="4">
        <v>0.99780000000000002</v>
      </c>
      <c r="C36" s="4">
        <v>0.92290000000000005</v>
      </c>
      <c r="D36" s="4">
        <v>0.98860000000000003</v>
      </c>
    </row>
    <row r="37" spans="1:4" s="4" customFormat="1" x14ac:dyDescent="0.75">
      <c r="A37" s="5" t="s">
        <v>34</v>
      </c>
      <c r="B37" s="4">
        <v>0.99929999999999997</v>
      </c>
      <c r="C37" s="4">
        <v>0.98440000000000005</v>
      </c>
      <c r="D37" s="4">
        <v>0.97729999999999995</v>
      </c>
    </row>
    <row r="38" spans="1:4" s="4" customFormat="1" x14ac:dyDescent="0.75">
      <c r="A38" s="5" t="s">
        <v>39</v>
      </c>
      <c r="B38" s="4">
        <v>0.46329999999999999</v>
      </c>
      <c r="C38" s="7">
        <v>-1.2142999999999999</v>
      </c>
      <c r="D38" s="4">
        <v>0.7742</v>
      </c>
    </row>
    <row r="39" spans="1:4" s="4" customFormat="1" x14ac:dyDescent="0.75">
      <c r="A39" s="5" t="s">
        <v>40</v>
      </c>
      <c r="B39" s="4">
        <v>0.68979999999999997</v>
      </c>
      <c r="C39" s="4">
        <v>0.4955</v>
      </c>
      <c r="D39" s="4">
        <v>0.87890000000000001</v>
      </c>
    </row>
    <row r="40" spans="1:4" s="4" customFormat="1" x14ac:dyDescent="0.75">
      <c r="A40" s="5" t="s">
        <v>41</v>
      </c>
      <c r="B40" s="7" t="s">
        <v>45</v>
      </c>
      <c r="C40" s="7">
        <v>-0.33329999999999999</v>
      </c>
      <c r="D40" s="7">
        <v>-0.33329999999999999</v>
      </c>
    </row>
    <row r="41" spans="1:4" ht="16" x14ac:dyDescent="0.8">
      <c r="A41" s="2" t="s">
        <v>42</v>
      </c>
      <c r="B41" s="3">
        <f>AVERAGE(B2:B12,B14:B39)</f>
        <v>0.9561891891891886</v>
      </c>
      <c r="C41" s="3">
        <f>AVERAGE(C2:C12,C14:C37,C39)</f>
        <v>0.93640555555555549</v>
      </c>
      <c r="D41" s="3">
        <f>AVERAGE(D2,D2:D12,D16:D39)</f>
        <v>0.94215000000000027</v>
      </c>
    </row>
    <row r="42" spans="1:4" ht="16" x14ac:dyDescent="0.8">
      <c r="A42" s="2" t="s">
        <v>43</v>
      </c>
      <c r="B42" s="3">
        <f>MEDIAN(B2:B12,B14:B39)</f>
        <v>0.98760000000000003</v>
      </c>
      <c r="C42" s="3">
        <f>MEDIAN(C2:C12,C14:C37,C39)</f>
        <v>0.98334999999999995</v>
      </c>
      <c r="D42" s="3">
        <f>MEDIAN(D2:D12,D16:D39)</f>
        <v>0.98240000000000005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R2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Artai</dc:creator>
  <cp:lastModifiedBy>Artai</cp:lastModifiedBy>
  <dcterms:created xsi:type="dcterms:W3CDTF">2023-09-19T07:17:47Z</dcterms:created>
  <dcterms:modified xsi:type="dcterms:W3CDTF">2023-09-19T08:06:57Z</dcterms:modified>
</cp:coreProperties>
</file>